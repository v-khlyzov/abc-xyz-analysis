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enga\Desktop\для хх\"/>
    </mc:Choice>
  </mc:AlternateContent>
  <xr:revisionPtr revIDLastSave="0" documentId="13_ncr:1_{9DAE210E-E5E2-4BCA-95EA-1F9C03323A8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Продажи" sheetId="1" r:id="rId1"/>
    <sheet name="ABC-XYZ Анализ" sheetId="2" r:id="rId2"/>
    <sheet name="Матрица ABC-XYZ" sheetId="3" r:id="rId3"/>
  </sheets>
  <definedNames>
    <definedName name="_xlnm._FilterDatabase" localSheetId="1" hidden="1">'ABC-XYZ Анализ'!$A$1:$I$21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" i="2" l="1"/>
  <c r="J22" i="1"/>
  <c r="H22" i="1"/>
  <c r="K22" i="1"/>
  <c r="I22" i="1"/>
  <c r="D22" i="1"/>
  <c r="E22" i="1"/>
  <c r="F22" i="1"/>
  <c r="G22" i="1"/>
  <c r="C22" i="1"/>
  <c r="H8" i="2" a="1"/>
  <c r="H8" i="2" s="1"/>
  <c r="H15" i="2" a="1"/>
  <c r="H15" i="2" s="1"/>
  <c r="H18" i="2" a="1"/>
  <c r="H18" i="2"/>
  <c r="H21" i="2" a="1"/>
  <c r="H21" i="2" s="1"/>
  <c r="G21" i="2"/>
  <c r="B21" i="2"/>
  <c r="A21" i="2"/>
  <c r="G20" i="2"/>
  <c r="H20" i="2" s="1" a="1"/>
  <c r="H20" i="2" s="1"/>
  <c r="B20" i="2"/>
  <c r="A20" i="2"/>
  <c r="G19" i="2"/>
  <c r="H19" i="2" s="1" a="1"/>
  <c r="H19" i="2" s="1"/>
  <c r="B19" i="2"/>
  <c r="A19" i="2"/>
  <c r="G18" i="2"/>
  <c r="B18" i="2"/>
  <c r="A18" i="2"/>
  <c r="G17" i="2"/>
  <c r="H17" i="2" s="1" a="1"/>
  <c r="H17" i="2" s="1"/>
  <c r="B17" i="2"/>
  <c r="A17" i="2"/>
  <c r="G14" i="2"/>
  <c r="H14" i="2" s="1" a="1"/>
  <c r="H14" i="2" s="1"/>
  <c r="B14" i="2"/>
  <c r="A14" i="2"/>
  <c r="G16" i="2"/>
  <c r="H16" i="2" s="1" a="1"/>
  <c r="H16" i="2" s="1"/>
  <c r="B16" i="2"/>
  <c r="A16" i="2"/>
  <c r="G12" i="2"/>
  <c r="H12" i="2" s="1" a="1"/>
  <c r="H12" i="2" s="1"/>
  <c r="B12" i="2"/>
  <c r="A12" i="2"/>
  <c r="G15" i="2"/>
  <c r="B15" i="2"/>
  <c r="A15" i="2"/>
  <c r="G13" i="2"/>
  <c r="H13" i="2" s="1" a="1"/>
  <c r="H13" i="2" s="1"/>
  <c r="B13" i="2"/>
  <c r="A13" i="2"/>
  <c r="G11" i="2"/>
  <c r="H11" i="2" s="1" a="1"/>
  <c r="H11" i="2" s="1"/>
  <c r="B11" i="2"/>
  <c r="A11" i="2"/>
  <c r="G10" i="2"/>
  <c r="H10" i="2" s="1" a="1"/>
  <c r="H10" i="2" s="1"/>
  <c r="C10" i="2"/>
  <c r="D10" i="2" s="1"/>
  <c r="B10" i="2"/>
  <c r="A10" i="2"/>
  <c r="G9" i="2"/>
  <c r="H9" i="2" s="1" a="1"/>
  <c r="H9" i="2" s="1"/>
  <c r="B9" i="2"/>
  <c r="A9" i="2"/>
  <c r="G8" i="2"/>
  <c r="C8" i="2"/>
  <c r="D8" i="2" s="1"/>
  <c r="B8" i="2"/>
  <c r="A8" i="2"/>
  <c r="G7" i="2"/>
  <c r="H7" i="2" s="1" a="1"/>
  <c r="H7" i="2" s="1"/>
  <c r="B7" i="2"/>
  <c r="A7" i="2"/>
  <c r="G6" i="2"/>
  <c r="H6" i="2" s="1" a="1"/>
  <c r="H6" i="2" s="1"/>
  <c r="C6" i="2"/>
  <c r="D6" i="2" s="1"/>
  <c r="B6" i="2"/>
  <c r="A6" i="2"/>
  <c r="G5" i="2"/>
  <c r="H5" i="2" s="1" a="1"/>
  <c r="H5" i="2" s="1"/>
  <c r="B5" i="2"/>
  <c r="A5" i="2"/>
  <c r="G4" i="2"/>
  <c r="H4" i="2" s="1" a="1"/>
  <c r="H4" i="2" s="1"/>
  <c r="C4" i="2"/>
  <c r="D4" i="2" s="1"/>
  <c r="B4" i="2"/>
  <c r="A4" i="2"/>
  <c r="G3" i="2"/>
  <c r="H3" i="2" s="1" a="1"/>
  <c r="H3" i="2" s="1"/>
  <c r="B3" i="2"/>
  <c r="A3" i="2"/>
  <c r="G2" i="2"/>
  <c r="H2" i="2" s="1" a="1"/>
  <c r="H2" i="2" s="1"/>
  <c r="C2" i="2"/>
  <c r="D2" i="2" s="1"/>
  <c r="B2" i="2"/>
  <c r="A2" i="2"/>
  <c r="K21" i="1"/>
  <c r="G21" i="1"/>
  <c r="C21" i="2" s="1"/>
  <c r="D21" i="2" s="1"/>
  <c r="K20" i="1"/>
  <c r="I20" i="1"/>
  <c r="G20" i="1"/>
  <c r="C17" i="2" s="1"/>
  <c r="D17" i="2" s="1"/>
  <c r="K19" i="1"/>
  <c r="G19" i="1"/>
  <c r="I19" i="1" s="1"/>
  <c r="K18" i="1"/>
  <c r="I18" i="1"/>
  <c r="G18" i="1"/>
  <c r="C5" i="2" s="1"/>
  <c r="D5" i="2" s="1"/>
  <c r="K17" i="1"/>
  <c r="G17" i="1"/>
  <c r="C18" i="2" s="1"/>
  <c r="D18" i="2" s="1"/>
  <c r="K16" i="1"/>
  <c r="I16" i="1"/>
  <c r="G16" i="1"/>
  <c r="K15" i="1"/>
  <c r="G15" i="1"/>
  <c r="I15" i="1" s="1"/>
  <c r="K14" i="1"/>
  <c r="I14" i="1"/>
  <c r="G14" i="1"/>
  <c r="C9" i="2" s="1"/>
  <c r="D9" i="2" s="1"/>
  <c r="K13" i="1"/>
  <c r="G13" i="1"/>
  <c r="C16" i="2" s="1"/>
  <c r="D16" i="2" s="1"/>
  <c r="K12" i="1"/>
  <c r="I12" i="1"/>
  <c r="G12" i="1"/>
  <c r="K11" i="1"/>
  <c r="G11" i="1"/>
  <c r="C19" i="2" s="1"/>
  <c r="D19" i="2" s="1"/>
  <c r="K10" i="1"/>
  <c r="I10" i="1"/>
  <c r="G10" i="1"/>
  <c r="K9" i="1"/>
  <c r="G9" i="1"/>
  <c r="C11" i="2" s="1"/>
  <c r="D11" i="2" s="1"/>
  <c r="K8" i="1"/>
  <c r="I8" i="1"/>
  <c r="G8" i="1"/>
  <c r="K7" i="1"/>
  <c r="G7" i="1"/>
  <c r="C14" i="2" s="1"/>
  <c r="D14" i="2" s="1"/>
  <c r="K6" i="1"/>
  <c r="I6" i="1"/>
  <c r="G6" i="1"/>
  <c r="K5" i="1"/>
  <c r="G5" i="1"/>
  <c r="I5" i="1" s="1"/>
  <c r="K4" i="1"/>
  <c r="I4" i="1"/>
  <c r="G4" i="1"/>
  <c r="C7" i="2" s="1"/>
  <c r="D7" i="2" s="1"/>
  <c r="K3" i="1"/>
  <c r="G3" i="1"/>
  <c r="I3" i="1" s="1"/>
  <c r="K2" i="1"/>
  <c r="I2" i="1"/>
  <c r="G2" i="1"/>
  <c r="C3" i="2" s="1"/>
  <c r="D3" i="2" s="1"/>
  <c r="C13" i="2" l="1"/>
  <c r="D13" i="2" s="1"/>
  <c r="C20" i="2"/>
  <c r="D20" i="2" s="1"/>
  <c r="I9" i="1"/>
  <c r="I13" i="1"/>
  <c r="I17" i="1"/>
  <c r="I21" i="1"/>
  <c r="C15" i="2"/>
  <c r="D15" i="2" s="1"/>
  <c r="C12" i="2"/>
  <c r="D12" i="2" s="1"/>
  <c r="I7" i="1"/>
  <c r="I11" i="1"/>
  <c r="E2" i="2" l="1"/>
  <c r="E3" i="2" l="1"/>
  <c r="I2" i="2"/>
  <c r="F3" i="2" l="1"/>
  <c r="I3" i="2" s="1"/>
  <c r="E4" i="2" l="1"/>
  <c r="F4" i="2" l="1"/>
  <c r="I4" i="2" s="1"/>
  <c r="E5" i="2" l="1"/>
  <c r="E6" i="2" s="1"/>
  <c r="F6" i="2" s="1"/>
  <c r="I6" i="2" s="1"/>
  <c r="F5" i="2" l="1"/>
  <c r="I5" i="2" s="1"/>
  <c r="E7" i="2"/>
  <c r="E8" i="2" s="1"/>
  <c r="F7" i="2" l="1"/>
  <c r="I7" i="2" s="1"/>
  <c r="F8" i="2"/>
  <c r="I8" i="2" s="1"/>
  <c r="E9" i="2" l="1"/>
  <c r="F9" i="2" l="1"/>
  <c r="I9" i="2" s="1"/>
  <c r="E10" i="2"/>
  <c r="E11" i="2" s="1"/>
  <c r="F11" i="2" l="1"/>
  <c r="I11" i="2" s="1"/>
  <c r="F10" i="2"/>
  <c r="I10" i="2" s="1"/>
  <c r="E12" i="2"/>
  <c r="F12" i="2"/>
  <c r="I12" i="2"/>
  <c r="E13" i="2"/>
  <c r="F13" i="2"/>
  <c r="I13" i="2"/>
  <c r="E14" i="2"/>
  <c r="F14" i="2"/>
  <c r="I14" i="2"/>
  <c r="E15" i="2"/>
  <c r="F15" i="2"/>
  <c r="I15" i="2"/>
  <c r="E16" i="2"/>
  <c r="F16" i="2"/>
  <c r="I16" i="2"/>
  <c r="E17" i="2"/>
  <c r="F17" i="2"/>
  <c r="I17" i="2"/>
  <c r="E18" i="2"/>
  <c r="F18" i="2"/>
  <c r="I18" i="2"/>
  <c r="E19" i="2"/>
  <c r="F19" i="2"/>
  <c r="I19" i="2"/>
  <c r="E20" i="2"/>
  <c r="F20" i="2"/>
  <c r="I20" i="2"/>
  <c r="E21" i="2"/>
  <c r="F21" i="2"/>
  <c r="I21" i="2"/>
  <c r="B3" i="3"/>
  <c r="B5" i="3"/>
  <c r="B4" i="3"/>
  <c r="C4" i="3"/>
  <c r="C5" i="3"/>
  <c r="C3" i="3"/>
  <c r="D3" i="3"/>
  <c r="D5" i="3"/>
  <c r="D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<sst xmlns="http://schemas.openxmlformats.org/spreadsheetml/2006/main" count="98" uniqueCount="94">
  <si>
    <t>ID Селлера</t>
  </si>
  <si>
    <t>Название</t>
  </si>
  <si>
    <t>Неделя 1</t>
  </si>
  <si>
    <t>Неделя 2</t>
  </si>
  <si>
    <t>Неделя 3</t>
  </si>
  <si>
    <t>Неделя 4</t>
  </si>
  <si>
    <t>GMV за месяц</t>
  </si>
  <si>
    <t>Кол-во заказов</t>
  </si>
  <si>
    <t>AOV (ср. чек)</t>
  </si>
  <si>
    <t>Возвраты, шт</t>
  </si>
  <si>
    <t>Return Rate</t>
  </si>
  <si>
    <t>SEL-001</t>
  </si>
  <si>
    <t>ООО Технопром</t>
  </si>
  <si>
    <t>SEL-002</t>
  </si>
  <si>
    <t>ИП Смирнов А.В.</t>
  </si>
  <si>
    <t>SEL-003</t>
  </si>
  <si>
    <t>ООО МегаТрейд</t>
  </si>
  <si>
    <t>SEL-004</t>
  </si>
  <si>
    <t>ИП Козлова Н.И.</t>
  </si>
  <si>
    <t>SEL-005</t>
  </si>
  <si>
    <t>ООО СтройМаркет</t>
  </si>
  <si>
    <t>SEL-006</t>
  </si>
  <si>
    <t>ИП Петров С.Д.</t>
  </si>
  <si>
    <t>SEL-007</t>
  </si>
  <si>
    <t>ООО АвтоДеталь</t>
  </si>
  <si>
    <t>SEL-008</t>
  </si>
  <si>
    <t>ИП Новикова М.С.</t>
  </si>
  <si>
    <t>SEL-009</t>
  </si>
  <si>
    <t>ООО ЭлектроПлюс</t>
  </si>
  <si>
    <t>SEL-010</t>
  </si>
  <si>
    <t>ИП Федоров К.В.</t>
  </si>
  <si>
    <t>SEL-011</t>
  </si>
  <si>
    <t>ООО БытТехника</t>
  </si>
  <si>
    <t>SEL-012</t>
  </si>
  <si>
    <t>ИП Орлова Д.А.</t>
  </si>
  <si>
    <t>SEL-013</t>
  </si>
  <si>
    <t>ООО КосметикаПро</t>
  </si>
  <si>
    <t>SEL-014</t>
  </si>
  <si>
    <t>ИП Морозов В.П.</t>
  </si>
  <si>
    <t>SEL-015</t>
  </si>
  <si>
    <t>ООО СпортТовары</t>
  </si>
  <si>
    <t>SEL-016</t>
  </si>
  <si>
    <t>ИП Лебедева О.Н.</t>
  </si>
  <si>
    <t>SEL-017</t>
  </si>
  <si>
    <t>ООО ДомиДача</t>
  </si>
  <si>
    <t>SEL-018</t>
  </si>
  <si>
    <t>ИП Соколов Р.Е.</t>
  </si>
  <si>
    <t>SEL-019</t>
  </si>
  <si>
    <t>ООО КнижныйМир</t>
  </si>
  <si>
    <t>SEL-020</t>
  </si>
  <si>
    <t>ИП Захарова Т.Б.</t>
  </si>
  <si>
    <t>Доля GMV</t>
  </si>
  <si>
    <t>Накопл. доля</t>
  </si>
  <si>
    <t>ABC</t>
  </si>
  <si>
    <t>CV (коэф. вариации)</t>
  </si>
  <si>
    <t>XYZ</t>
  </si>
  <si>
    <t>Группа ABC-XYZ</t>
  </si>
  <si>
    <t>Матрица ABC-XYZ</t>
  </si>
  <si>
    <t>X</t>
  </si>
  <si>
    <t>Y</t>
  </si>
  <si>
    <t>Z</t>
  </si>
  <si>
    <t>A</t>
  </si>
  <si>
    <t>B</t>
  </si>
  <si>
    <t>C</t>
  </si>
  <si>
    <t>AX</t>
  </si>
  <si>
    <t>AY</t>
  </si>
  <si>
    <t>AZ</t>
  </si>
  <si>
    <t>BX</t>
  </si>
  <si>
    <t>BY</t>
  </si>
  <si>
    <t>BZ</t>
  </si>
  <si>
    <t>CX</t>
  </si>
  <si>
    <t>CY</t>
  </si>
  <si>
    <t>CZ</t>
  </si>
  <si>
    <t xml:space="preserve">Топ селлеры, стабильные продажи </t>
  </si>
  <si>
    <t xml:space="preserve">Топ селлеры, умеренная волатильность </t>
  </si>
  <si>
    <t xml:space="preserve">Топ GMV, но хаотичные продажи </t>
  </si>
  <si>
    <t xml:space="preserve">Средний GMV, стабильные </t>
  </si>
  <si>
    <t xml:space="preserve">Низкий GMV, стабильные </t>
  </si>
  <si>
    <t xml:space="preserve">Низкий GMV, сезонность </t>
  </si>
  <si>
    <t xml:space="preserve">Низкий GMV, хаос </t>
  </si>
  <si>
    <t>ABC / XYZ</t>
  </si>
  <si>
    <t>Вывод</t>
  </si>
  <si>
    <t>Рекомендация</t>
  </si>
  <si>
    <t>приоритет #1, развивать</t>
  </si>
  <si>
    <t>работать над стабилизацией</t>
  </si>
  <si>
    <t>буферный запас, анализ причин</t>
  </si>
  <si>
    <t>потенциал роста в A</t>
  </si>
  <si>
    <t>стандартное управление</t>
  </si>
  <si>
    <t>пересмотреть условия</t>
  </si>
  <si>
    <t>минимальное внимание</t>
  </si>
  <si>
    <t>оценить целесообразность</t>
  </si>
  <si>
    <t>кандидаты на вывод</t>
  </si>
  <si>
    <t>Средний GMV, хаос</t>
  </si>
  <si>
    <t>Средний GMV, сезонность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</si>
</sst>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&quot; ₽&quot;"/>
    <numFmt numFmtId="165" formatCode="0.0%"/>
    <numFmt numFmtId="166" formatCode="_-* #,##0_-;\-* #,##0_-;_-* &quot;-&quot;??_-;_-@_-"/>
  </numFmts>
  <fonts count="10" x14ac:knownFonts="1">
    <font>
      <sz val="11"/>
      <color theme="1"/>
      <name val="Calibri"/>
      <family val="2"/>
      <charset val="1"/>
    </font>
    <font>
      <sz val="10"/>
      <name val="Arial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4"/>
      <name val="Arial"/>
      <charset val="1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sz val="12"/>
      <name val="Arial"/>
      <family val="2"/>
      <charset val="204"/>
    </font>
    <font>
      <b/>
      <sz val="11"/>
      <color theme="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7FB"/>
        <bgColor rgb="FFFFFFFF"/>
      </patternFill>
    </fill>
    <fill>
      <patternFill patternType="solid">
        <fgColor rgb="FFFFFFFF"/>
        <bgColor rgb="FFF2F7FB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3">
    <xf numFmtId="0" fontId="0" fillId="0" borderId="0"/>
    <xf numFmtId="43" fontId="1" fillId="0" borderId="0" applyBorder="0" applyAlignment="0" applyProtection="0"/>
    <xf numFmtId="9" fontId="1" fillId="0" borderId="0" applyBorder="0" applyAlignment="0" applyProtection="0"/>
  </cellStyleXfs>
  <cellXfs count="3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4" fillId="0" borderId="0" xfId="0" applyFont="1"/>
    <xf numFmtId="165" fontId="1" fillId="0" borderId="0" xfId="2" applyNumberFormat="1"/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64" fontId="6" fillId="0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164" fontId="6" fillId="0" borderId="2" xfId="0" applyNumberFormat="1" applyFont="1" applyFill="1" applyBorder="1" applyAlignment="1">
      <alignment horizontal="center" vertical="center"/>
    </xf>
    <xf numFmtId="165" fontId="6" fillId="0" borderId="2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9" fillId="0" borderId="0" xfId="0" applyFont="1"/>
    <xf numFmtId="0" fontId="7" fillId="0" borderId="0" xfId="0" applyFont="1" applyAlignment="1">
      <alignment horizontal="center"/>
    </xf>
    <xf numFmtId="164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166" fontId="1" fillId="0" borderId="1" xfId="1" applyNumberFormat="1" applyBorder="1" applyAlignment="1">
      <alignment horizontal="center" vertical="center"/>
    </xf>
    <xf numFmtId="166" fontId="5" fillId="0" borderId="1" xfId="1" applyNumberFormat="1" applyFont="1" applyBorder="1" applyAlignment="1">
      <alignment horizontal="center" vertical="center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21">
    <dxf>
      <font>
        <b val="0"/>
        <strike val="0"/>
        <outline val="0"/>
        <shadow val="0"/>
        <u val="none"/>
        <vertAlign val="baseline"/>
        <color auto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color auto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color auto="1"/>
        <name val="Arial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CCCCCC"/>
        </top>
        <bottom style="thin">
          <color rgb="FFCCCCCC"/>
        </bottom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strike val="0"/>
        <outline val="0"/>
        <shadow val="0"/>
        <u val="none"/>
        <vertAlign val="baseline"/>
        <color auto="1"/>
        <name val="Arial"/>
        <scheme val="none"/>
      </font>
      <fill>
        <patternFill patternType="none">
          <fgColor indexed="64"/>
          <bgColor auto="1"/>
        </patternFill>
      </fill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/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numFmt numFmtId="165" formatCode="0.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/>
        <top style="thin">
          <color rgb="FFCCCCCC"/>
        </top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numFmt numFmtId="165" formatCode="0.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numFmt numFmtId="165" formatCode="0.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numFmt numFmtId="164" formatCode="#,##0&quot; ₽&quot;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outline="0">
        <bottom style="thin">
          <color rgb="FFCCCCCC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3366"/>
          <bgColor rgb="FF1F4E79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F2F7FB"/>
      <rgbColor rgb="FFC6EFCE"/>
      <rgbColor rgb="FFFFEB9C"/>
      <rgbColor rgb="FFD9D9D9"/>
      <rgbColor rgb="FFF2DCDB"/>
      <rgbColor rgb="FFCC99FF"/>
      <rgbColor rgb="FFFFC7CE"/>
      <rgbColor rgb="FF2E75B6"/>
      <rgbColor rgb="FF33CCCC"/>
      <rgbColor rgb="FF92D050"/>
      <rgbColor rgb="FFFFC000"/>
      <rgbColor rgb="FFFF9900"/>
      <rgbColor rgb="FFFF6600"/>
      <rgbColor rgb="FF666666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425CEF-8223-43F8-BC4E-E56866974C2A}" name="Таблица1" displayName="Таблица1" ref="A1:I21" totalsRowShown="0" headerRowDxfId="20" dataDxfId="19" tableBorderDxfId="18">
  <autoFilter ref="A1:I21" xr:uid="{00000000-0001-0000-0100-000000000000}"/>
  <sortState xmlns:xlrd2="http://schemas.microsoft.com/office/spreadsheetml/2017/richdata2" ref="A2:I21">
    <sortCondition ref="F2:F21"/>
    <sortCondition ref="H2:H21"/>
    <sortCondition ref="I2:I21"/>
  </sortState>
  <tableColumns count="9">
    <tableColumn id="1" xr3:uid="{6E1F3A97-F90A-43BA-820E-D1C60AA4FEA1}" name="ID Селлера" dataDxfId="17"/>
    <tableColumn id="2" xr3:uid="{8EAD5659-B208-483F-B051-ACE61A1B7662}" name="Название" dataDxfId="16"/>
    <tableColumn id="3" xr3:uid="{0A8A6189-075F-437D-9EAA-6196BAE5818F}" name="GMV за месяц" dataDxfId="15"/>
    <tableColumn id="4" xr3:uid="{B5D7BD74-7D85-4E62-A968-9AD11AC32444}" name="Доля GMV" dataDxfId="14">
      <calculatedColumnFormula>IFERROR(C2/SUM(Продажи!$G$2:$G$21),0)</calculatedColumnFormula>
    </tableColumn>
    <tableColumn id="5" xr3:uid="{ECBA9C13-474D-4912-A137-DD9D74BD6556}" name="Накопл. доля" dataDxfId="13">
      <calculatedColumnFormula>E1+D2</calculatedColumnFormula>
    </tableColumn>
    <tableColumn id="6" xr3:uid="{D71A8A17-1830-4EAB-BD5F-F646CF059003}" name="ABC" dataDxfId="12">
      <calculatedColumnFormula>IF(E2-D2&lt;0.8,"A",IF(E2-D2&lt;0.95,"B","C"))</calculatedColumnFormula>
    </tableColumn>
    <tableColumn id="7" xr3:uid="{C51E412D-9D3A-4094-8119-0366B2FE50A8}" name="CV (коэф. вариации)" dataDxfId="11"/>
    <tableColumn id="8" xr3:uid="{5DBF1487-4FCF-48FA-B8A5-406E637B9BE7}" name="XYZ" dataDxfId="10">
      <calculatedColumnFormula array="1">_xlfn.IFS(G2&lt;0.15,"X",G2&lt;0.35,"Y",G2&gt;=0.35,"Z")</calculatedColumnFormula>
    </tableColumn>
    <tableColumn id="9" xr3:uid="{6BD0D7FB-2F1C-4922-AB70-7F92E9A97BF6}" name="Группа ABC-XYZ" dataDxfId="9">
      <calculatedColumnFormula>F2&amp;H2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6E4DB3-4682-41C4-98A5-3779BFE6E5D2}" name="Таблица2" displayName="Таблица2" ref="A2:D5" totalsRowShown="0" headerRowDxfId="8" dataDxfId="6" headerRowBorderDxfId="7" tableBorderDxfId="5" totalsRowBorderDxfId="4">
  <autoFilter ref="A2:D5" xr:uid="{ED6E4DB3-4682-41C4-98A5-3779BFE6E5D2}"/>
  <tableColumns count="4">
    <tableColumn id="1" xr3:uid="{04922D95-571A-4D10-B341-00B348F9A09A}" name="ABC / XYZ" dataDxfId="3"/>
    <tableColumn id="2" xr3:uid="{1F999D52-2847-4EDB-BDF2-BD7B6D4EB4CB}" name="X" dataDxfId="2"/>
    <tableColumn id="3" xr3:uid="{E82519D2-8B06-47E2-BFAC-97A3AB626CF6}" name="Y" dataDxfId="1"/>
    <tableColumn id="4" xr3:uid="{AFDAB35B-8AC6-443B-9F19-5151CC0CAF4B}" name="Z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zoomScaleNormal="100" workbookViewId="0">
      <selection activeCell="D8" sqref="D8"/>
    </sheetView>
  </sheetViews>
  <sheetFormatPr defaultColWidth="8.7109375" defaultRowHeight="15" x14ac:dyDescent="0.25"/>
  <cols>
    <col min="1" max="1" width="12" customWidth="1"/>
    <col min="2" max="2" width="22" customWidth="1"/>
    <col min="3" max="6" width="14" customWidth="1"/>
    <col min="7" max="7" width="16" customWidth="1"/>
    <col min="8" max="10" width="14" customWidth="1"/>
    <col min="11" max="11" width="13" customWidth="1"/>
  </cols>
  <sheetData>
    <row r="1" spans="1:1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3">
        <v>843876</v>
      </c>
      <c r="D2" s="3">
        <v>842651</v>
      </c>
      <c r="E2" s="3">
        <v>845269</v>
      </c>
      <c r="F2" s="3">
        <v>879834</v>
      </c>
      <c r="G2" s="3">
        <f t="shared" ref="G2:G21" si="0">SUM(C2:F2)</f>
        <v>3411630</v>
      </c>
      <c r="H2" s="33">
        <v>289</v>
      </c>
      <c r="I2" s="3">
        <f t="shared" ref="I2:I22" si="1">IFERROR(G2/H2,0)</f>
        <v>11804.948096885813</v>
      </c>
      <c r="J2" s="2">
        <v>38</v>
      </c>
      <c r="K2" s="4">
        <f t="shared" ref="K2:K21" si="2">IFERROR(J2/H2,0)</f>
        <v>0.13148788927335639</v>
      </c>
    </row>
    <row r="3" spans="1:11" x14ac:dyDescent="0.25">
      <c r="A3" s="5" t="s">
        <v>13</v>
      </c>
      <c r="B3" s="5" t="s">
        <v>14</v>
      </c>
      <c r="C3" s="6">
        <v>135951</v>
      </c>
      <c r="D3" s="6">
        <v>107167</v>
      </c>
      <c r="E3" s="6">
        <v>109585</v>
      </c>
      <c r="F3" s="6">
        <v>125562</v>
      </c>
      <c r="G3" s="6">
        <f t="shared" si="0"/>
        <v>478265</v>
      </c>
      <c r="H3" s="33">
        <v>527</v>
      </c>
      <c r="I3" s="6">
        <f t="shared" si="1"/>
        <v>907.52371916508537</v>
      </c>
      <c r="J3" s="5">
        <v>34</v>
      </c>
      <c r="K3" s="7">
        <f t="shared" si="2"/>
        <v>6.4516129032258063E-2</v>
      </c>
    </row>
    <row r="4" spans="1:11" x14ac:dyDescent="0.25">
      <c r="A4" s="2" t="s">
        <v>15</v>
      </c>
      <c r="B4" s="2" t="s">
        <v>16</v>
      </c>
      <c r="C4" s="3">
        <v>568971</v>
      </c>
      <c r="D4" s="3">
        <v>581927</v>
      </c>
      <c r="E4" s="3">
        <v>603661</v>
      </c>
      <c r="F4" s="3">
        <v>544642</v>
      </c>
      <c r="G4" s="3">
        <f t="shared" si="0"/>
        <v>2299201</v>
      </c>
      <c r="H4" s="33">
        <v>939</v>
      </c>
      <c r="I4" s="3">
        <f t="shared" si="1"/>
        <v>2448.5633652822153</v>
      </c>
      <c r="J4" s="2">
        <v>59</v>
      </c>
      <c r="K4" s="4">
        <f t="shared" si="2"/>
        <v>6.2832800851970183E-2</v>
      </c>
    </row>
    <row r="5" spans="1:11" x14ac:dyDescent="0.25">
      <c r="A5" s="5" t="s">
        <v>17</v>
      </c>
      <c r="B5" s="5" t="s">
        <v>18</v>
      </c>
      <c r="C5" s="6">
        <v>6838</v>
      </c>
      <c r="D5" s="6">
        <v>21028</v>
      </c>
      <c r="E5" s="6">
        <v>89772</v>
      </c>
      <c r="F5" s="6">
        <v>46829</v>
      </c>
      <c r="G5" s="6">
        <f t="shared" si="0"/>
        <v>164467</v>
      </c>
      <c r="H5" s="33">
        <v>945</v>
      </c>
      <c r="I5" s="6">
        <f t="shared" si="1"/>
        <v>174.03915343915344</v>
      </c>
      <c r="J5" s="5">
        <v>76</v>
      </c>
      <c r="K5" s="7">
        <f t="shared" si="2"/>
        <v>8.0423280423280424E-2</v>
      </c>
    </row>
    <row r="6" spans="1:11" x14ac:dyDescent="0.25">
      <c r="A6" s="2" t="s">
        <v>19</v>
      </c>
      <c r="B6" s="2" t="s">
        <v>20</v>
      </c>
      <c r="C6" s="3">
        <v>1062607</v>
      </c>
      <c r="D6" s="3">
        <v>1102345</v>
      </c>
      <c r="E6" s="3">
        <v>966570</v>
      </c>
      <c r="F6" s="3">
        <v>1002196</v>
      </c>
      <c r="G6" s="3">
        <f t="shared" si="0"/>
        <v>4133718</v>
      </c>
      <c r="H6" s="33">
        <v>278</v>
      </c>
      <c r="I6" s="3">
        <f t="shared" si="1"/>
        <v>14869.489208633093</v>
      </c>
      <c r="J6" s="2">
        <v>23</v>
      </c>
      <c r="K6" s="4">
        <f t="shared" si="2"/>
        <v>8.2733812949640287E-2</v>
      </c>
    </row>
    <row r="7" spans="1:11" x14ac:dyDescent="0.25">
      <c r="A7" s="5" t="s">
        <v>21</v>
      </c>
      <c r="B7" s="5" t="s">
        <v>22</v>
      </c>
      <c r="C7" s="6">
        <v>66087</v>
      </c>
      <c r="D7" s="6">
        <v>95777</v>
      </c>
      <c r="E7" s="6">
        <v>107158</v>
      </c>
      <c r="F7" s="6">
        <v>86164</v>
      </c>
      <c r="G7" s="6">
        <f t="shared" si="0"/>
        <v>355186</v>
      </c>
      <c r="H7" s="33">
        <v>335</v>
      </c>
      <c r="I7" s="6">
        <f t="shared" si="1"/>
        <v>1060.2567164179104</v>
      </c>
      <c r="J7" s="5">
        <v>58</v>
      </c>
      <c r="K7" s="7">
        <f t="shared" si="2"/>
        <v>0.17313432835820897</v>
      </c>
    </row>
    <row r="8" spans="1:11" x14ac:dyDescent="0.25">
      <c r="A8" s="2" t="s">
        <v>23</v>
      </c>
      <c r="B8" s="2" t="s">
        <v>24</v>
      </c>
      <c r="C8" s="3">
        <v>382744</v>
      </c>
      <c r="D8" s="3">
        <v>475202</v>
      </c>
      <c r="E8" s="3">
        <v>464276</v>
      </c>
      <c r="F8" s="3">
        <v>367095</v>
      </c>
      <c r="G8" s="3">
        <f t="shared" si="0"/>
        <v>1689317</v>
      </c>
      <c r="H8" s="33">
        <v>820</v>
      </c>
      <c r="I8" s="3">
        <f t="shared" si="1"/>
        <v>2060.1426829268294</v>
      </c>
      <c r="J8" s="2">
        <v>95</v>
      </c>
      <c r="K8" s="4">
        <f t="shared" si="2"/>
        <v>0.11585365853658537</v>
      </c>
    </row>
    <row r="9" spans="1:11" x14ac:dyDescent="0.25">
      <c r="A9" s="5" t="s">
        <v>25</v>
      </c>
      <c r="B9" s="5" t="s">
        <v>26</v>
      </c>
      <c r="C9" s="6">
        <v>204928</v>
      </c>
      <c r="D9" s="6">
        <v>192718</v>
      </c>
      <c r="E9" s="6">
        <v>216727</v>
      </c>
      <c r="F9" s="6">
        <v>258135</v>
      </c>
      <c r="G9" s="6">
        <f t="shared" si="0"/>
        <v>872508</v>
      </c>
      <c r="H9" s="33">
        <v>243</v>
      </c>
      <c r="I9" s="6">
        <f t="shared" si="1"/>
        <v>3590.5679012345681</v>
      </c>
      <c r="J9" s="5">
        <v>38</v>
      </c>
      <c r="K9" s="7">
        <f t="shared" si="2"/>
        <v>0.15637860082304528</v>
      </c>
    </row>
    <row r="10" spans="1:11" x14ac:dyDescent="0.25">
      <c r="A10" s="2" t="s">
        <v>27</v>
      </c>
      <c r="B10" s="2" t="s">
        <v>28</v>
      </c>
      <c r="C10" s="3">
        <v>794770</v>
      </c>
      <c r="D10" s="3">
        <v>721294</v>
      </c>
      <c r="E10" s="3">
        <v>663449</v>
      </c>
      <c r="F10" s="3">
        <v>789099</v>
      </c>
      <c r="G10" s="3">
        <f t="shared" si="0"/>
        <v>2968612</v>
      </c>
      <c r="H10" s="33">
        <v>413</v>
      </c>
      <c r="I10" s="3">
        <f t="shared" si="1"/>
        <v>7187.9225181598067</v>
      </c>
      <c r="J10" s="2">
        <v>35</v>
      </c>
      <c r="K10" s="4">
        <f t="shared" si="2"/>
        <v>8.4745762711864403E-2</v>
      </c>
    </row>
    <row r="11" spans="1:11" x14ac:dyDescent="0.25">
      <c r="A11" s="5" t="s">
        <v>29</v>
      </c>
      <c r="B11" s="5" t="s">
        <v>30</v>
      </c>
      <c r="C11" s="6">
        <v>36927</v>
      </c>
      <c r="D11" s="6">
        <v>48102</v>
      </c>
      <c r="E11" s="6">
        <v>59377</v>
      </c>
      <c r="F11" s="6">
        <v>21909</v>
      </c>
      <c r="G11" s="6">
        <f t="shared" si="0"/>
        <v>166315</v>
      </c>
      <c r="H11" s="33">
        <v>430</v>
      </c>
      <c r="I11" s="6">
        <f t="shared" si="1"/>
        <v>386.77906976744185</v>
      </c>
      <c r="J11" s="5">
        <v>47</v>
      </c>
      <c r="K11" s="7">
        <f t="shared" si="2"/>
        <v>0.10930232558139535</v>
      </c>
    </row>
    <row r="12" spans="1:11" x14ac:dyDescent="0.25">
      <c r="A12" s="2" t="s">
        <v>31</v>
      </c>
      <c r="B12" s="2" t="s">
        <v>32</v>
      </c>
      <c r="C12" s="3">
        <v>541960</v>
      </c>
      <c r="D12" s="3">
        <v>600118</v>
      </c>
      <c r="E12" s="3">
        <v>524619</v>
      </c>
      <c r="F12" s="3">
        <v>662067</v>
      </c>
      <c r="G12" s="3">
        <f t="shared" si="0"/>
        <v>2328764</v>
      </c>
      <c r="H12" s="33">
        <v>529</v>
      </c>
      <c r="I12" s="3">
        <f t="shared" si="1"/>
        <v>4402.2003780718333</v>
      </c>
      <c r="J12" s="2">
        <v>70</v>
      </c>
      <c r="K12" s="4">
        <f t="shared" si="2"/>
        <v>0.1323251417769376</v>
      </c>
    </row>
    <row r="13" spans="1:11" x14ac:dyDescent="0.25">
      <c r="A13" s="5" t="s">
        <v>33</v>
      </c>
      <c r="B13" s="5" t="s">
        <v>34</v>
      </c>
      <c r="C13" s="6">
        <v>128819</v>
      </c>
      <c r="D13" s="6">
        <v>36216</v>
      </c>
      <c r="E13" s="6">
        <v>93295</v>
      </c>
      <c r="F13" s="6">
        <v>101785</v>
      </c>
      <c r="G13" s="6">
        <f t="shared" si="0"/>
        <v>360115</v>
      </c>
      <c r="H13" s="33">
        <v>726</v>
      </c>
      <c r="I13" s="6">
        <f t="shared" si="1"/>
        <v>496.02617079889808</v>
      </c>
      <c r="J13" s="5">
        <v>65</v>
      </c>
      <c r="K13" s="7">
        <f t="shared" si="2"/>
        <v>8.9531680440771352E-2</v>
      </c>
    </row>
    <row r="14" spans="1:11" x14ac:dyDescent="0.25">
      <c r="A14" s="2" t="s">
        <v>35</v>
      </c>
      <c r="B14" s="2" t="s">
        <v>36</v>
      </c>
      <c r="C14" s="3">
        <v>495264</v>
      </c>
      <c r="D14" s="3">
        <v>430904</v>
      </c>
      <c r="E14" s="3">
        <v>297275</v>
      </c>
      <c r="F14" s="3">
        <v>342848</v>
      </c>
      <c r="G14" s="3">
        <f t="shared" si="0"/>
        <v>1566291</v>
      </c>
      <c r="H14" s="33">
        <v>515</v>
      </c>
      <c r="I14" s="3">
        <f t="shared" si="1"/>
        <v>3041.3417475728156</v>
      </c>
      <c r="J14" s="2">
        <v>66</v>
      </c>
      <c r="K14" s="4">
        <f t="shared" si="2"/>
        <v>0.12815533980582525</v>
      </c>
    </row>
    <row r="15" spans="1:11" x14ac:dyDescent="0.25">
      <c r="A15" s="5" t="s">
        <v>37</v>
      </c>
      <c r="B15" s="5" t="s">
        <v>38</v>
      </c>
      <c r="C15" s="6">
        <v>82707</v>
      </c>
      <c r="D15" s="6">
        <v>246004</v>
      </c>
      <c r="E15" s="6">
        <v>135182</v>
      </c>
      <c r="F15" s="6">
        <v>185530</v>
      </c>
      <c r="G15" s="6">
        <f t="shared" si="0"/>
        <v>649423</v>
      </c>
      <c r="H15" s="33">
        <v>585</v>
      </c>
      <c r="I15" s="6">
        <f t="shared" si="1"/>
        <v>1110.1247863247863</v>
      </c>
      <c r="J15" s="5">
        <v>82</v>
      </c>
      <c r="K15" s="7">
        <f t="shared" si="2"/>
        <v>0.14017094017094017</v>
      </c>
    </row>
    <row r="16" spans="1:11" x14ac:dyDescent="0.25">
      <c r="A16" s="2" t="s">
        <v>39</v>
      </c>
      <c r="B16" s="2" t="s">
        <v>40</v>
      </c>
      <c r="C16" s="3">
        <v>196707</v>
      </c>
      <c r="D16" s="3">
        <v>266684</v>
      </c>
      <c r="E16" s="3">
        <v>220862</v>
      </c>
      <c r="F16" s="3">
        <v>323368</v>
      </c>
      <c r="G16" s="3">
        <f t="shared" si="0"/>
        <v>1007621</v>
      </c>
      <c r="H16" s="33">
        <v>821</v>
      </c>
      <c r="I16" s="3">
        <f t="shared" si="1"/>
        <v>1227.3093788063338</v>
      </c>
      <c r="J16" s="2">
        <v>51</v>
      </c>
      <c r="K16" s="4">
        <f t="shared" si="2"/>
        <v>6.2119366626065771E-2</v>
      </c>
    </row>
    <row r="17" spans="1:11" x14ac:dyDescent="0.25">
      <c r="A17" s="5" t="s">
        <v>41</v>
      </c>
      <c r="B17" s="5" t="s">
        <v>42</v>
      </c>
      <c r="C17" s="6">
        <v>92611</v>
      </c>
      <c r="D17" s="6">
        <v>57464</v>
      </c>
      <c r="E17" s="6">
        <v>65579</v>
      </c>
      <c r="F17" s="6">
        <v>62871</v>
      </c>
      <c r="G17" s="6">
        <f t="shared" si="0"/>
        <v>278525</v>
      </c>
      <c r="H17" s="33">
        <v>304</v>
      </c>
      <c r="I17" s="6">
        <f t="shared" si="1"/>
        <v>916.20065789473688</v>
      </c>
      <c r="J17" s="5">
        <v>16</v>
      </c>
      <c r="K17" s="7">
        <f t="shared" si="2"/>
        <v>5.2631578947368418E-2</v>
      </c>
    </row>
    <row r="18" spans="1:11" x14ac:dyDescent="0.25">
      <c r="A18" s="2" t="s">
        <v>43</v>
      </c>
      <c r="B18" s="2" t="s">
        <v>44</v>
      </c>
      <c r="C18" s="3">
        <v>718816</v>
      </c>
      <c r="D18" s="3">
        <v>746903</v>
      </c>
      <c r="E18" s="3">
        <v>621140</v>
      </c>
      <c r="F18" s="3">
        <v>636158</v>
      </c>
      <c r="G18" s="3">
        <f t="shared" si="0"/>
        <v>2723017</v>
      </c>
      <c r="H18" s="33">
        <v>1038</v>
      </c>
      <c r="I18" s="3">
        <f t="shared" si="1"/>
        <v>2623.3304431599231</v>
      </c>
      <c r="J18" s="2">
        <v>113</v>
      </c>
      <c r="K18" s="4">
        <f t="shared" si="2"/>
        <v>0.10886319845857419</v>
      </c>
    </row>
    <row r="19" spans="1:11" x14ac:dyDescent="0.25">
      <c r="A19" s="5" t="s">
        <v>45</v>
      </c>
      <c r="B19" s="5" t="s">
        <v>46</v>
      </c>
      <c r="C19" s="6">
        <v>252615</v>
      </c>
      <c r="D19" s="6">
        <v>125225</v>
      </c>
      <c r="E19" s="6">
        <v>232777</v>
      </c>
      <c r="F19" s="6">
        <v>151343</v>
      </c>
      <c r="G19" s="6">
        <f t="shared" si="0"/>
        <v>761960</v>
      </c>
      <c r="H19" s="33">
        <v>1179</v>
      </c>
      <c r="I19" s="6">
        <f t="shared" si="1"/>
        <v>646.27650551314673</v>
      </c>
      <c r="J19" s="5">
        <v>168</v>
      </c>
      <c r="K19" s="7">
        <f t="shared" si="2"/>
        <v>0.14249363867684478</v>
      </c>
    </row>
    <row r="20" spans="1:11" x14ac:dyDescent="0.25">
      <c r="A20" s="2" t="s">
        <v>47</v>
      </c>
      <c r="B20" s="2" t="s">
        <v>48</v>
      </c>
      <c r="C20" s="3">
        <v>92210</v>
      </c>
      <c r="D20" s="3">
        <v>52135</v>
      </c>
      <c r="E20" s="3">
        <v>81727</v>
      </c>
      <c r="F20" s="3">
        <v>110374</v>
      </c>
      <c r="G20" s="3">
        <f t="shared" si="0"/>
        <v>336446</v>
      </c>
      <c r="H20" s="33">
        <v>86</v>
      </c>
      <c r="I20" s="3">
        <f t="shared" si="1"/>
        <v>3912.1627906976746</v>
      </c>
      <c r="J20" s="2">
        <v>14</v>
      </c>
      <c r="K20" s="4">
        <f t="shared" si="2"/>
        <v>0.16279069767441862</v>
      </c>
    </row>
    <row r="21" spans="1:11" x14ac:dyDescent="0.25">
      <c r="A21" s="5" t="s">
        <v>49</v>
      </c>
      <c r="B21" s="5" t="s">
        <v>50</v>
      </c>
      <c r="C21" s="6">
        <v>29948</v>
      </c>
      <c r="D21" s="6">
        <v>14136</v>
      </c>
      <c r="E21" s="6">
        <v>13028</v>
      </c>
      <c r="F21" s="6">
        <v>21966</v>
      </c>
      <c r="G21" s="6">
        <f t="shared" si="0"/>
        <v>79078</v>
      </c>
      <c r="H21" s="33">
        <v>297</v>
      </c>
      <c r="I21" s="6">
        <f t="shared" si="1"/>
        <v>266.25589225589226</v>
      </c>
      <c r="J21" s="5">
        <v>47</v>
      </c>
      <c r="K21" s="7">
        <f t="shared" si="2"/>
        <v>0.15824915824915825</v>
      </c>
    </row>
    <row r="22" spans="1:11" x14ac:dyDescent="0.25">
      <c r="C22" s="30">
        <f>SUM(C2:C21)</f>
        <v>6735356</v>
      </c>
      <c r="D22" s="30">
        <f t="shared" ref="D22:G22" si="3">SUM(D2:D21)</f>
        <v>6764000</v>
      </c>
      <c r="E22" s="30">
        <f t="shared" si="3"/>
        <v>6411328</v>
      </c>
      <c r="F22" s="30">
        <f t="shared" si="3"/>
        <v>6719775</v>
      </c>
      <c r="G22" s="30">
        <f t="shared" si="3"/>
        <v>26630459</v>
      </c>
      <c r="H22" s="34">
        <f>SUM(H2:H21)</f>
        <v>11299</v>
      </c>
      <c r="I22" s="30">
        <f t="shared" si="1"/>
        <v>2356.8863616249228</v>
      </c>
      <c r="J22" s="31">
        <f>SUM(J2:J21)</f>
        <v>1195</v>
      </c>
      <c r="K22" s="32">
        <f t="shared" ref="K22" si="4">IFERROR(J22/H22,0)</f>
        <v>0.10576157182051509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zoomScaleNormal="100" workbookViewId="0">
      <selection activeCell="I22" sqref="I22"/>
    </sheetView>
  </sheetViews>
  <sheetFormatPr defaultColWidth="8.7109375" defaultRowHeight="15" x14ac:dyDescent="0.25"/>
  <cols>
    <col min="1" max="1" width="16.140625" bestFit="1" customWidth="1"/>
    <col min="2" max="2" width="18.42578125" bestFit="1" customWidth="1"/>
    <col min="3" max="3" width="19" bestFit="1" customWidth="1"/>
    <col min="4" max="4" width="15.140625" bestFit="1" customWidth="1"/>
    <col min="5" max="5" width="18.28515625" bestFit="1" customWidth="1"/>
    <col min="6" max="6" width="9.42578125" bestFit="1" customWidth="1"/>
    <col min="7" max="7" width="25.28515625" bestFit="1" customWidth="1"/>
    <col min="8" max="8" width="9" bestFit="1" customWidth="1"/>
    <col min="9" max="9" width="20.7109375" bestFit="1" customWidth="1"/>
    <col min="11" max="11" width="12.42578125" customWidth="1"/>
  </cols>
  <sheetData>
    <row r="1" spans="1:12" ht="30" customHeight="1" x14ac:dyDescent="0.25">
      <c r="A1" s="1" t="s">
        <v>0</v>
      </c>
      <c r="B1" s="1" t="s">
        <v>1</v>
      </c>
      <c r="C1" s="1" t="s">
        <v>6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K1" s="8"/>
    </row>
    <row r="2" spans="1:12" x14ac:dyDescent="0.25">
      <c r="A2" s="13" t="str">
        <f>Продажи!A6</f>
        <v>SEL-005</v>
      </c>
      <c r="B2" s="13" t="str">
        <f>Продажи!B6</f>
        <v>ООО СтройМаркет</v>
      </c>
      <c r="C2" s="14">
        <f>Продажи!G6</f>
        <v>4133718</v>
      </c>
      <c r="D2" s="15">
        <f>IFERROR(C2/SUM(Продажи!$G$2:$G$21),0)</f>
        <v>0.15522518781970676</v>
      </c>
      <c r="E2" s="15">
        <f>D2</f>
        <v>0.15522518781970676</v>
      </c>
      <c r="F2" s="11" t="str">
        <f t="shared" ref="F2:F21" si="0">IF(E2-D2&lt;0.8,"A",IF(E2-D2&lt;0.95,"B","C"))</f>
        <v>A</v>
      </c>
      <c r="G2" s="15">
        <f>IFERROR(STDEV(Продажи!C6:F6)/AVERAGE(Продажи!C6:F6),0)</f>
        <v>5.8717673527124835E-2</v>
      </c>
      <c r="H2" s="11" t="str" cm="1">
        <f t="array" ref="H2">_xlfn.IFS(G2&lt;0.15,"X",G2&lt;0.35,"Y",G2&gt;=0.35,"Z")</f>
        <v>X</v>
      </c>
      <c r="I2" s="11" t="str">
        <f t="shared" ref="I2:I21" si="1">F2&amp;H2</f>
        <v>AX</v>
      </c>
      <c r="L2" s="10"/>
    </row>
    <row r="3" spans="1:12" x14ac:dyDescent="0.25">
      <c r="A3" s="13" t="str">
        <f>Продажи!A2</f>
        <v>SEL-001</v>
      </c>
      <c r="B3" s="13" t="str">
        <f>Продажи!B2</f>
        <v>ООО Технопром</v>
      </c>
      <c r="C3" s="14">
        <f>Продажи!G2</f>
        <v>3411630</v>
      </c>
      <c r="D3" s="15">
        <f>IFERROR(C3/SUM(Продажи!$G$2:$G$21),0)</f>
        <v>0.12811007125337193</v>
      </c>
      <c r="E3" s="15">
        <f t="shared" ref="E3:E21" si="2">E2+D3</f>
        <v>0.28333525907307866</v>
      </c>
      <c r="F3" s="11" t="str">
        <f t="shared" si="0"/>
        <v>A</v>
      </c>
      <c r="G3" s="15">
        <f>IFERROR(STDEV(Продажи!C2:F2)/AVERAGE(Продажи!C2:F2),0)</f>
        <v>2.1084154135752726E-2</v>
      </c>
      <c r="H3" s="11" t="str" cm="1">
        <f t="array" ref="H3">_xlfn.IFS(G3&lt;0.15,"X",G3&lt;0.35,"Y",G3&gt;=0.35,"Z")</f>
        <v>X</v>
      </c>
      <c r="I3" s="11" t="str">
        <f t="shared" si="1"/>
        <v>AX</v>
      </c>
    </row>
    <row r="4" spans="1:12" x14ac:dyDescent="0.25">
      <c r="A4" s="13" t="str">
        <f>Продажи!A10</f>
        <v>SEL-009</v>
      </c>
      <c r="B4" s="13" t="str">
        <f>Продажи!B10</f>
        <v>ООО ЭлектроПлюс</v>
      </c>
      <c r="C4" s="14">
        <f>Продажи!G10</f>
        <v>2968612</v>
      </c>
      <c r="D4" s="15">
        <f>IFERROR(C4/SUM(Продажи!$G$2:$G$21),0)</f>
        <v>0.11147430842254728</v>
      </c>
      <c r="E4" s="15">
        <f t="shared" si="2"/>
        <v>0.39480956749562596</v>
      </c>
      <c r="F4" s="11" t="str">
        <f t="shared" si="0"/>
        <v>A</v>
      </c>
      <c r="G4" s="15">
        <f>IFERROR(STDEV(Продажи!C10:F10)/AVERAGE(Продажи!C10:F10),0)</f>
        <v>8.3793504654093826E-2</v>
      </c>
      <c r="H4" s="11" t="str" cm="1">
        <f t="array" ref="H4">_xlfn.IFS(G4&lt;0.15,"X",G4&lt;0.35,"Y",G4&gt;=0.35,"Z")</f>
        <v>X</v>
      </c>
      <c r="I4" s="11" t="str">
        <f t="shared" si="1"/>
        <v>AX</v>
      </c>
    </row>
    <row r="5" spans="1:12" x14ac:dyDescent="0.25">
      <c r="A5" s="13" t="str">
        <f>Продажи!A18</f>
        <v>SEL-017</v>
      </c>
      <c r="B5" s="13" t="str">
        <f>Продажи!B18</f>
        <v>ООО ДомиДача</v>
      </c>
      <c r="C5" s="14">
        <f>Продажи!G18</f>
        <v>2723017</v>
      </c>
      <c r="D5" s="15">
        <f>IFERROR(C5/SUM(Продажи!$G$2:$G$21),0)</f>
        <v>0.10225197395208246</v>
      </c>
      <c r="E5" s="15">
        <f t="shared" si="2"/>
        <v>0.49706154144770842</v>
      </c>
      <c r="F5" s="11" t="str">
        <f t="shared" si="0"/>
        <v>A</v>
      </c>
      <c r="G5" s="15">
        <f>IFERROR(STDEV(Продажи!C18:F18)/AVERAGE(Продажи!C18:F18),0)</f>
        <v>9.0421700886041914E-2</v>
      </c>
      <c r="H5" s="11" t="str" cm="1">
        <f t="array" ref="H5">_xlfn.IFS(G5&lt;0.15,"X",G5&lt;0.35,"Y",G5&gt;=0.35,"Z")</f>
        <v>X</v>
      </c>
      <c r="I5" s="11" t="str">
        <f t="shared" si="1"/>
        <v>AX</v>
      </c>
    </row>
    <row r="6" spans="1:12" x14ac:dyDescent="0.25">
      <c r="A6" s="13" t="str">
        <f>Продажи!A12</f>
        <v>SEL-011</v>
      </c>
      <c r="B6" s="13" t="str">
        <f>Продажи!B12</f>
        <v>ООО БытТехника</v>
      </c>
      <c r="C6" s="14">
        <f>Продажи!G12</f>
        <v>2328764</v>
      </c>
      <c r="D6" s="15">
        <f>IFERROR(C6/SUM(Продажи!$G$2:$G$21),0)</f>
        <v>8.7447384966214819E-2</v>
      </c>
      <c r="E6" s="15">
        <f t="shared" si="2"/>
        <v>0.58450892641392327</v>
      </c>
      <c r="F6" s="11" t="str">
        <f t="shared" si="0"/>
        <v>A</v>
      </c>
      <c r="G6" s="15">
        <f>IFERROR(STDEV(Продажи!C12:F12)/AVERAGE(Продажи!C12:F12),0)</f>
        <v>0.10696704788536383</v>
      </c>
      <c r="H6" s="11" t="str" cm="1">
        <f t="array" ref="H6">_xlfn.IFS(G6&lt;0.15,"X",G6&lt;0.35,"Y",G6&gt;=0.35,"Z")</f>
        <v>X</v>
      </c>
      <c r="I6" s="11" t="str">
        <f t="shared" si="1"/>
        <v>AX</v>
      </c>
    </row>
    <row r="7" spans="1:12" x14ac:dyDescent="0.25">
      <c r="A7" s="13" t="str">
        <f>Продажи!A4</f>
        <v>SEL-003</v>
      </c>
      <c r="B7" s="13" t="str">
        <f>Продажи!B4</f>
        <v>ООО МегаТрейд</v>
      </c>
      <c r="C7" s="14">
        <f>Продажи!G4</f>
        <v>2299201</v>
      </c>
      <c r="D7" s="15">
        <f>IFERROR(C7/SUM(Продажи!$G$2:$G$21),0)</f>
        <v>8.6337265159417642E-2</v>
      </c>
      <c r="E7" s="15">
        <f t="shared" si="2"/>
        <v>0.67084619157334091</v>
      </c>
      <c r="F7" s="11" t="str">
        <f t="shared" si="0"/>
        <v>A</v>
      </c>
      <c r="G7" s="15">
        <f>IFERROR(STDEV(Продажи!C4:F4)/AVERAGE(Продажи!C4:F4),0)</f>
        <v>4.293579088753343E-2</v>
      </c>
      <c r="H7" s="11" t="str" cm="1">
        <f t="array" ref="H7">_xlfn.IFS(G7&lt;0.15,"X",G7&lt;0.35,"Y",G7&gt;=0.35,"Z")</f>
        <v>X</v>
      </c>
      <c r="I7" s="11" t="str">
        <f t="shared" si="1"/>
        <v>AX</v>
      </c>
    </row>
    <row r="8" spans="1:12" x14ac:dyDescent="0.25">
      <c r="A8" s="13" t="str">
        <f>Продажи!A8</f>
        <v>SEL-007</v>
      </c>
      <c r="B8" s="13" t="str">
        <f>Продажи!B8</f>
        <v>ООО АвтоДеталь</v>
      </c>
      <c r="C8" s="14">
        <f>Продажи!G8</f>
        <v>1689317</v>
      </c>
      <c r="D8" s="15">
        <f>IFERROR(C8/SUM(Продажи!$G$2:$G$21),0)</f>
        <v>6.3435519455372513E-2</v>
      </c>
      <c r="E8" s="15">
        <f t="shared" si="2"/>
        <v>0.73428171102871342</v>
      </c>
      <c r="F8" s="11" t="str">
        <f t="shared" si="0"/>
        <v>A</v>
      </c>
      <c r="G8" s="15">
        <f>IFERROR(STDEV(Продажи!C8:F8)/AVERAGE(Продажи!C8:F8),0)</f>
        <v>0.13093051502595643</v>
      </c>
      <c r="H8" s="11" t="str" cm="1">
        <f t="array" ref="H8">_xlfn.IFS(G8&lt;0.15,"X",G8&lt;0.35,"Y",G8&gt;=0.35,"Z")</f>
        <v>X</v>
      </c>
      <c r="I8" s="11" t="str">
        <f t="shared" si="1"/>
        <v>AX</v>
      </c>
    </row>
    <row r="9" spans="1:12" x14ac:dyDescent="0.25">
      <c r="A9" s="13" t="str">
        <f>Продажи!A14</f>
        <v>SEL-013</v>
      </c>
      <c r="B9" s="13" t="str">
        <f>Продажи!B14</f>
        <v>ООО КосметикаПро</v>
      </c>
      <c r="C9" s="14">
        <f>Продажи!G14</f>
        <v>1566291</v>
      </c>
      <c r="D9" s="15">
        <f>IFERROR(C9/SUM(Продажи!$G$2:$G$21),0)</f>
        <v>5.8815771819779747E-2</v>
      </c>
      <c r="E9" s="15">
        <f t="shared" si="2"/>
        <v>0.79309748284849313</v>
      </c>
      <c r="F9" s="11" t="str">
        <f t="shared" si="0"/>
        <v>A</v>
      </c>
      <c r="G9" s="15">
        <f>IFERROR(STDEV(Продажи!C14:F14)/AVERAGE(Продажи!C14:F14),0)</f>
        <v>0.22633959608711138</v>
      </c>
      <c r="H9" s="11" t="str" cm="1">
        <f t="array" ref="H9">_xlfn.IFS(G9&lt;0.15,"X",G9&lt;0.35,"Y",G9&gt;=0.35,"Z")</f>
        <v>Y</v>
      </c>
      <c r="I9" s="11" t="str">
        <f t="shared" si="1"/>
        <v>AY</v>
      </c>
    </row>
    <row r="10" spans="1:12" x14ac:dyDescent="0.25">
      <c r="A10" s="13" t="str">
        <f>Продажи!A16</f>
        <v>SEL-015</v>
      </c>
      <c r="B10" s="13" t="str">
        <f>Продажи!B16</f>
        <v>ООО СпортТовары</v>
      </c>
      <c r="C10" s="14">
        <f>Продажи!G16</f>
        <v>1007621</v>
      </c>
      <c r="D10" s="15">
        <f>IFERROR(C10/SUM(Продажи!$G$2:$G$21),0)</f>
        <v>3.7837162326041771E-2</v>
      </c>
      <c r="E10" s="15">
        <f t="shared" si="2"/>
        <v>0.83093464517453486</v>
      </c>
      <c r="F10" s="11" t="str">
        <f t="shared" si="0"/>
        <v>A</v>
      </c>
      <c r="G10" s="15">
        <f>IFERROR(STDEV(Продажи!C16:F16)/AVERAGE(Продажи!C16:F16),0)</f>
        <v>0.22145192751283266</v>
      </c>
      <c r="H10" s="11" t="str" cm="1">
        <f t="array" ref="H10">_xlfn.IFS(G10&lt;0.15,"X",G10&lt;0.35,"Y",G10&gt;=0.35,"Z")</f>
        <v>Y</v>
      </c>
      <c r="I10" s="11" t="str">
        <f t="shared" si="1"/>
        <v>AY</v>
      </c>
    </row>
    <row r="11" spans="1:12" x14ac:dyDescent="0.25">
      <c r="A11" s="13" t="str">
        <f>Продажи!A9</f>
        <v>SEL-008</v>
      </c>
      <c r="B11" s="13" t="str">
        <f>Продажи!B9</f>
        <v>ИП Новикова М.С.</v>
      </c>
      <c r="C11" s="14">
        <f>Продажи!G9</f>
        <v>872508</v>
      </c>
      <c r="D11" s="15">
        <f>IFERROR(C11/SUM(Продажи!$G$2:$G$21),0)</f>
        <v>3.2763535919527333E-2</v>
      </c>
      <c r="E11" s="15">
        <f t="shared" si="2"/>
        <v>0.86369818109406216</v>
      </c>
      <c r="F11" s="11" t="str">
        <f t="shared" si="0"/>
        <v>B</v>
      </c>
      <c r="G11" s="15">
        <f>IFERROR(STDEV(Продажи!C9:F9)/AVERAGE(Продажи!C9:F9),0)</f>
        <v>0.1302733703912867</v>
      </c>
      <c r="H11" s="11" t="str" cm="1">
        <f t="array" ref="H11">_xlfn.IFS(G11&lt;0.15,"X",G11&lt;0.35,"Y",G11&gt;=0.35,"Z")</f>
        <v>X</v>
      </c>
      <c r="I11" s="11" t="str">
        <f t="shared" si="1"/>
        <v>BX</v>
      </c>
    </row>
    <row r="12" spans="1:12" x14ac:dyDescent="0.25">
      <c r="A12" s="13" t="str">
        <f>Продажи!A3</f>
        <v>SEL-002</v>
      </c>
      <c r="B12" s="13" t="str">
        <f>Продажи!B3</f>
        <v>ИП Смирнов А.В.</v>
      </c>
      <c r="C12" s="14">
        <f>Продажи!G3</f>
        <v>478265</v>
      </c>
      <c r="D12" s="15">
        <f>IFERROR(C12/SUM(Продажи!$G$2:$G$21),0)</f>
        <v>1.7959322443522285E-2</v>
      </c>
      <c r="E12" s="15">
        <f t="shared" si="2"/>
        <v>0.88165750353758443</v>
      </c>
      <c r="F12" s="11" t="str">
        <f t="shared" si="0"/>
        <v>B</v>
      </c>
      <c r="G12" s="15">
        <f>IFERROR(STDEV(Продажи!C3:F3)/AVERAGE(Продажи!C3:F3),0)</f>
        <v>0.11404089028800682</v>
      </c>
      <c r="H12" s="11" t="str" cm="1">
        <f t="array" ref="H12">_xlfn.IFS(G12&lt;0.15,"X",G12&lt;0.35,"Y",G12&gt;=0.35,"Z")</f>
        <v>X</v>
      </c>
      <c r="I12" s="11" t="str">
        <f t="shared" si="1"/>
        <v>BX</v>
      </c>
    </row>
    <row r="13" spans="1:12" x14ac:dyDescent="0.25">
      <c r="A13" s="13" t="str">
        <f>Продажи!A19</f>
        <v>SEL-018</v>
      </c>
      <c r="B13" s="13" t="str">
        <f>Продажи!B19</f>
        <v>ИП Соколов Р.Е.</v>
      </c>
      <c r="C13" s="14">
        <f>Продажи!G19</f>
        <v>761960</v>
      </c>
      <c r="D13" s="15">
        <f>IFERROR(C13/SUM(Продажи!$G$2:$G$21),0)</f>
        <v>2.8612349490483812E-2</v>
      </c>
      <c r="E13" s="15">
        <f t="shared" si="2"/>
        <v>0.91026985302806829</v>
      </c>
      <c r="F13" s="11" t="str">
        <f t="shared" si="0"/>
        <v>B</v>
      </c>
      <c r="G13" s="15">
        <f>IFERROR(STDEV(Продажи!C19:F19)/AVERAGE(Продажи!C19:F19),0)</f>
        <v>0.32417145557275334</v>
      </c>
      <c r="H13" s="11" t="str" cm="1">
        <f t="array" ref="H13">_xlfn.IFS(G13&lt;0.15,"X",G13&lt;0.35,"Y",G13&gt;=0.35,"Z")</f>
        <v>Y</v>
      </c>
      <c r="I13" s="11" t="str">
        <f t="shared" si="1"/>
        <v>BY</v>
      </c>
    </row>
    <row r="14" spans="1:12" x14ac:dyDescent="0.25">
      <c r="A14" s="13" t="str">
        <f>Продажи!A7</f>
        <v>SEL-006</v>
      </c>
      <c r="B14" s="13" t="str">
        <f>Продажи!B7</f>
        <v>ИП Петров С.Д.</v>
      </c>
      <c r="C14" s="14">
        <f>Продажи!G7</f>
        <v>355186</v>
      </c>
      <c r="D14" s="15">
        <f>IFERROR(C14/SUM(Продажи!$G$2:$G$21),0)</f>
        <v>1.3337584605657754E-2</v>
      </c>
      <c r="E14" s="15">
        <f t="shared" si="2"/>
        <v>0.92360743763372599</v>
      </c>
      <c r="F14" s="11" t="str">
        <f t="shared" si="0"/>
        <v>B</v>
      </c>
      <c r="G14" s="15">
        <f>IFERROR(STDEV(Продажи!C7:F7)/AVERAGE(Продажи!C7:F7),0)</f>
        <v>0.19597993508048278</v>
      </c>
      <c r="H14" s="11" t="str" cm="1">
        <f t="array" ref="H14">_xlfn.IFS(G14&lt;0.15,"X",G14&lt;0.35,"Y",G14&gt;=0.35,"Z")</f>
        <v>Y</v>
      </c>
      <c r="I14" s="11" t="str">
        <f t="shared" si="1"/>
        <v>BY</v>
      </c>
    </row>
    <row r="15" spans="1:12" x14ac:dyDescent="0.25">
      <c r="A15" s="13" t="str">
        <f>Продажи!A15</f>
        <v>SEL-014</v>
      </c>
      <c r="B15" s="13" t="str">
        <f>Продажи!B15</f>
        <v>ИП Морозов В.П.</v>
      </c>
      <c r="C15" s="14">
        <f>Продажи!G15</f>
        <v>649423</v>
      </c>
      <c r="D15" s="15">
        <f>IFERROR(C15/SUM(Продажи!$G$2:$G$21),0)</f>
        <v>2.4386474149769629E-2</v>
      </c>
      <c r="E15" s="15">
        <f t="shared" si="2"/>
        <v>0.94799391178349557</v>
      </c>
      <c r="F15" s="11" t="str">
        <f t="shared" si="0"/>
        <v>B</v>
      </c>
      <c r="G15" s="15">
        <f>IFERROR(STDEV(Продажи!C15:F15)/AVERAGE(Продажи!C15:F15),0)</f>
        <v>0.42992438769248242</v>
      </c>
      <c r="H15" s="11" t="str" cm="1">
        <f t="array" ref="H15">_xlfn.IFS(G15&lt;0.15,"X",G15&lt;0.35,"Y",G15&gt;=0.35,"Z")</f>
        <v>Z</v>
      </c>
      <c r="I15" s="11" t="str">
        <f t="shared" si="1"/>
        <v>BZ</v>
      </c>
    </row>
    <row r="16" spans="1:12" x14ac:dyDescent="0.25">
      <c r="A16" s="13" t="str">
        <f>Продажи!A13</f>
        <v>SEL-012</v>
      </c>
      <c r="B16" s="13" t="str">
        <f>Продажи!B13</f>
        <v>ИП Орлова Д.А.</v>
      </c>
      <c r="C16" s="14">
        <f>Продажи!G13</f>
        <v>360115</v>
      </c>
      <c r="D16" s="15">
        <f>IFERROR(C16/SUM(Продажи!$G$2:$G$21),0)</f>
        <v>1.3522673416932092E-2</v>
      </c>
      <c r="E16" s="15">
        <f t="shared" si="2"/>
        <v>0.96151658520042771</v>
      </c>
      <c r="F16" s="11" t="str">
        <f t="shared" si="0"/>
        <v>B</v>
      </c>
      <c r="G16" s="15">
        <f>IFERROR(STDEV(Продажи!C13:F13)/AVERAGE(Продажи!C13:F13),0)</f>
        <v>0.43254763570227189</v>
      </c>
      <c r="H16" s="11" t="str" cm="1">
        <f t="array" ref="H16">_xlfn.IFS(G16&lt;0.15,"X",G16&lt;0.35,"Y",G16&gt;=0.35,"Z")</f>
        <v>Z</v>
      </c>
      <c r="I16" s="11" t="str">
        <f t="shared" si="1"/>
        <v>BZ</v>
      </c>
    </row>
    <row r="17" spans="1:9" x14ac:dyDescent="0.25">
      <c r="A17" s="13" t="str">
        <f>Продажи!A20</f>
        <v>SEL-019</v>
      </c>
      <c r="B17" s="13" t="str">
        <f>Продажи!B20</f>
        <v>ООО КнижныйМир</v>
      </c>
      <c r="C17" s="14">
        <f>Продажи!G20</f>
        <v>336446</v>
      </c>
      <c r="D17" s="15">
        <f>IFERROR(C17/SUM(Продажи!$G$2:$G$21),0)</f>
        <v>1.2633879123149923E-2</v>
      </c>
      <c r="E17" s="15">
        <f t="shared" si="2"/>
        <v>0.97415046432357766</v>
      </c>
      <c r="F17" s="11" t="str">
        <f t="shared" si="0"/>
        <v>C</v>
      </c>
      <c r="G17" s="15">
        <f>IFERROR(STDEV(Продажи!C20:F20)/AVERAGE(Продажи!C20:F20),0)</f>
        <v>0.28988047799799876</v>
      </c>
      <c r="H17" s="11" t="str" cm="1">
        <f t="array" ref="H17">_xlfn.IFS(G17&lt;0.15,"X",G17&lt;0.35,"Y",G17&gt;=0.35,"Z")</f>
        <v>Y</v>
      </c>
      <c r="I17" s="11" t="str">
        <f t="shared" si="1"/>
        <v>CY</v>
      </c>
    </row>
    <row r="18" spans="1:9" x14ac:dyDescent="0.25">
      <c r="A18" s="13" t="str">
        <f>Продажи!A17</f>
        <v>SEL-016</v>
      </c>
      <c r="B18" s="13" t="str">
        <f>Продажи!B17</f>
        <v>ИП Лебедева О.Н.</v>
      </c>
      <c r="C18" s="14">
        <f>Продажи!G17</f>
        <v>278525</v>
      </c>
      <c r="D18" s="15">
        <f>IFERROR(C18/SUM(Продажи!$G$2:$G$21),0)</f>
        <v>1.0458888447998587E-2</v>
      </c>
      <c r="E18" s="15">
        <f t="shared" si="2"/>
        <v>0.98460935277157624</v>
      </c>
      <c r="F18" s="11" t="str">
        <f t="shared" si="0"/>
        <v>C</v>
      </c>
      <c r="G18" s="15">
        <f>IFERROR(STDEV(Продажи!C17:F17)/AVERAGE(Продажи!C17:F17),0)</f>
        <v>0.22528474703525145</v>
      </c>
      <c r="H18" s="11" t="str" cm="1">
        <f t="array" ref="H18">_xlfn.IFS(G18&lt;0.15,"X",G18&lt;0.35,"Y",G18&gt;=0.35,"Z")</f>
        <v>Y</v>
      </c>
      <c r="I18" s="11" t="str">
        <f t="shared" si="1"/>
        <v>CY</v>
      </c>
    </row>
    <row r="19" spans="1:9" x14ac:dyDescent="0.25">
      <c r="A19" s="13" t="str">
        <f>Продажи!A11</f>
        <v>SEL-010</v>
      </c>
      <c r="B19" s="13" t="str">
        <f>Продажи!B11</f>
        <v>ИП Федоров К.В.</v>
      </c>
      <c r="C19" s="14">
        <f>Продажи!G11</f>
        <v>166315</v>
      </c>
      <c r="D19" s="15">
        <f>IFERROR(C19/SUM(Продажи!$G$2:$G$21),0)</f>
        <v>6.2452922797913476E-3</v>
      </c>
      <c r="E19" s="15">
        <f t="shared" si="2"/>
        <v>0.99085464505136756</v>
      </c>
      <c r="F19" s="11" t="str">
        <f t="shared" si="0"/>
        <v>C</v>
      </c>
      <c r="G19" s="15">
        <f>IFERROR(STDEV(Продажи!C11:F11)/AVERAGE(Продажи!C11:F11),0)</f>
        <v>0.38477896639573095</v>
      </c>
      <c r="H19" s="11" t="str" cm="1">
        <f t="array" ref="H19">_xlfn.IFS(G19&lt;0.15,"X",G19&lt;0.35,"Y",G19&gt;=0.35,"Z")</f>
        <v>Z</v>
      </c>
      <c r="I19" s="11" t="str">
        <f t="shared" si="1"/>
        <v>CZ</v>
      </c>
    </row>
    <row r="20" spans="1:9" x14ac:dyDescent="0.25">
      <c r="A20" s="13" t="str">
        <f>Продажи!A5</f>
        <v>SEL-004</v>
      </c>
      <c r="B20" s="13" t="str">
        <f>Продажи!B5</f>
        <v>ИП Козлова Н.И.</v>
      </c>
      <c r="C20" s="14">
        <f>Продажи!G5</f>
        <v>164467</v>
      </c>
      <c r="D20" s="15">
        <f>IFERROR(C20/SUM(Продажи!$G$2:$G$21),0)</f>
        <v>6.175898057183318E-3</v>
      </c>
      <c r="E20" s="15">
        <f t="shared" si="2"/>
        <v>0.99703054310855088</v>
      </c>
      <c r="F20" s="11" t="str">
        <f t="shared" si="0"/>
        <v>C</v>
      </c>
      <c r="G20" s="15">
        <f>IFERROR(STDEV(Продажи!C5:F5)/AVERAGE(Продажи!C5:F5),0)</f>
        <v>0.88569298951436515</v>
      </c>
      <c r="H20" s="11" t="str" cm="1">
        <f t="array" ref="H20">_xlfn.IFS(G20&lt;0.15,"X",G20&lt;0.35,"Y",G20&gt;=0.35,"Z")</f>
        <v>Z</v>
      </c>
      <c r="I20" s="11" t="str">
        <f t="shared" si="1"/>
        <v>CZ</v>
      </c>
    </row>
    <row r="21" spans="1:9" x14ac:dyDescent="0.25">
      <c r="A21" s="16" t="str">
        <f>Продажи!A21</f>
        <v>SEL-020</v>
      </c>
      <c r="B21" s="16" t="str">
        <f>Продажи!B21</f>
        <v>ИП Захарова Т.Б.</v>
      </c>
      <c r="C21" s="17">
        <f>Продажи!G21</f>
        <v>79078</v>
      </c>
      <c r="D21" s="18">
        <f>IFERROR(C21/SUM(Продажи!$G$2:$G$21),0)</f>
        <v>2.9694568914489985E-3</v>
      </c>
      <c r="E21" s="18">
        <f t="shared" si="2"/>
        <v>0.99999999999999989</v>
      </c>
      <c r="F21" s="12" t="str">
        <f t="shared" si="0"/>
        <v>C</v>
      </c>
      <c r="G21" s="18">
        <f>IFERROR(STDEV(Продажи!C21:F21)/AVERAGE(Продажи!C21:F21),0)</f>
        <v>0.39787357545303625</v>
      </c>
      <c r="H21" s="11" t="str" cm="1">
        <f t="array" ref="H21">_xlfn.IFS(G21&lt;0.15,"X",G21&lt;0.35,"Y",G21&gt;=0.35,"Z")</f>
        <v>Z</v>
      </c>
      <c r="I21" s="12" t="str">
        <f t="shared" si="1"/>
        <v>CZ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zoomScaleNormal="100" workbookViewId="0">
      <selection activeCell="C8" sqref="C8"/>
    </sheetView>
  </sheetViews>
  <sheetFormatPr defaultColWidth="8.7109375" defaultRowHeight="15" x14ac:dyDescent="0.25"/>
  <cols>
    <col min="1" max="1" width="14" customWidth="1"/>
    <col min="2" max="2" width="58" customWidth="1"/>
    <col min="3" max="3" width="31.28515625" bestFit="1" customWidth="1"/>
    <col min="4" max="4" width="16.5703125" customWidth="1"/>
    <col min="8" max="8" width="39.140625" bestFit="1" customWidth="1"/>
  </cols>
  <sheetData>
    <row r="1" spans="1:4" ht="18" x14ac:dyDescent="0.25">
      <c r="A1" s="9" t="s">
        <v>57</v>
      </c>
    </row>
    <row r="2" spans="1:4" x14ac:dyDescent="0.25">
      <c r="A2" s="19" t="s">
        <v>80</v>
      </c>
      <c r="B2" s="20" t="s">
        <v>58</v>
      </c>
      <c r="C2" s="20" t="s">
        <v>59</v>
      </c>
      <c r="D2" s="21" t="s">
        <v>60</v>
      </c>
    </row>
    <row r="3" spans="1:4" x14ac:dyDescent="0.25">
      <c r="A3" s="22" t="s">
        <v>61</v>
      </c>
      <c r="B3" s="24">
        <f>COUNTIF('ABC-XYZ Анализ'!I2:I21,"AX")</f>
        <v>7</v>
      </c>
      <c r="C3" s="24">
        <f>COUNTIF('ABC-XYZ Анализ'!I2:I21,"AY")</f>
        <v>2</v>
      </c>
      <c r="D3" s="25">
        <f>COUNTIF('ABC-XYZ Анализ'!I2:I21,"AZ")</f>
        <v>0</v>
      </c>
    </row>
    <row r="4" spans="1:4" x14ac:dyDescent="0.25">
      <c r="A4" s="22" t="s">
        <v>62</v>
      </c>
      <c r="B4" s="24">
        <f>COUNTIF('ABC-XYZ Анализ'!I2:I21,"BX")</f>
        <v>2</v>
      </c>
      <c r="C4" s="24">
        <f>COUNTIF('ABC-XYZ Анализ'!I2:I21,"BY")</f>
        <v>2</v>
      </c>
      <c r="D4" s="25">
        <f>COUNTIF('ABC-XYZ Анализ'!I2:I21,"BZ")</f>
        <v>2</v>
      </c>
    </row>
    <row r="5" spans="1:4" x14ac:dyDescent="0.25">
      <c r="A5" s="23" t="s">
        <v>63</v>
      </c>
      <c r="B5" s="26">
        <f>COUNTIF('ABC-XYZ Анализ'!I2:I21,"CX")</f>
        <v>0</v>
      </c>
      <c r="C5" s="26">
        <f>COUNTIF('ABC-XYZ Анализ'!I2:I21,"CY")</f>
        <v>2</v>
      </c>
      <c r="D5" s="27">
        <f>COUNTIF('ABC-XYZ Анализ'!I2:I21,"CZ")</f>
        <v>3</v>
      </c>
    </row>
    <row r="6" spans="1:4" x14ac:dyDescent="0.25">
      <c r="A6" s="29" t="s">
        <v>80</v>
      </c>
      <c r="B6" s="28" t="s">
        <v>81</v>
      </c>
      <c r="C6" s="28" t="s">
        <v>82</v>
      </c>
    </row>
    <row r="7" spans="1:4" x14ac:dyDescent="0.25">
      <c r="A7" s="11" t="s">
        <v>64</v>
      </c>
      <c r="B7" t="s">
        <v>73</v>
      </c>
      <c r="C7" t="s">
        <v>83</v>
      </c>
    </row>
    <row r="8" spans="1:4" x14ac:dyDescent="0.25">
      <c r="A8" s="11" t="s">
        <v>65</v>
      </c>
      <c r="B8" t="s">
        <v>74</v>
      </c>
      <c r="C8" t="s">
        <v>84</v>
      </c>
    </row>
    <row r="9" spans="1:4" x14ac:dyDescent="0.25">
      <c r="A9" s="11" t="s">
        <v>66</v>
      </c>
      <c r="B9" t="s">
        <v>75</v>
      </c>
      <c r="C9" t="s">
        <v>85</v>
      </c>
    </row>
    <row r="10" spans="1:4" x14ac:dyDescent="0.25">
      <c r="A10" s="11" t="s">
        <v>67</v>
      </c>
      <c r="B10" t="s">
        <v>76</v>
      </c>
      <c r="C10" t="s">
        <v>86</v>
      </c>
    </row>
    <row r="11" spans="1:4" x14ac:dyDescent="0.25">
      <c r="A11" s="11" t="s">
        <v>68</v>
      </c>
      <c r="B11" t="s">
        <v>93</v>
      </c>
      <c r="C11" t="s">
        <v>87</v>
      </c>
    </row>
    <row r="12" spans="1:4" x14ac:dyDescent="0.25">
      <c r="A12" s="11" t="s">
        <v>69</v>
      </c>
      <c r="B12" t="s">
        <v>92</v>
      </c>
      <c r="C12" t="s">
        <v>88</v>
      </c>
    </row>
    <row r="13" spans="1:4" x14ac:dyDescent="0.25">
      <c r="A13" s="11" t="s">
        <v>70</v>
      </c>
      <c r="B13" t="s">
        <v>77</v>
      </c>
      <c r="C13" t="s">
        <v>89</v>
      </c>
    </row>
    <row r="14" spans="1:4" x14ac:dyDescent="0.25">
      <c r="A14" s="11" t="s">
        <v>71</v>
      </c>
      <c r="B14" t="s">
        <v>78</v>
      </c>
      <c r="C14" t="s">
        <v>90</v>
      </c>
    </row>
    <row r="15" spans="1:4" x14ac:dyDescent="0.25">
      <c r="A15" s="11" t="s">
        <v>72</v>
      </c>
      <c r="B15" t="s">
        <v>79</v>
      </c>
      <c r="C15" t="s">
        <v>91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Продажи</vt:lpstr>
      <vt:lpstr>ABC-XYZ Анализ</vt:lpstr>
      <vt:lpstr>Матрица ABC-XYZ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Valentin Khlyzov</cp:lastModifiedBy>
  <cp:revision>0</cp:revision>
  <dcterms:created xsi:type="dcterms:W3CDTF">2026-06-01T13:31:55Z</dcterms:created>
  <dcterms:modified xsi:type="dcterms:W3CDTF">2026-07-16T06:56:28Z</dcterms:modified>
  <dc:language>en-US</dc:language>
</cp:coreProperties>
</file>